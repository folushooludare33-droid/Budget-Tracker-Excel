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95" windowHeight="8670"/>
  </bookViews>
  <sheets>
    <sheet name="PIVOT TABLE" sheetId="3" r:id="rId1"/>
    <sheet name="Raw" sheetId="1" r:id="rId2"/>
    <sheet name="DASHBOARD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<sst xmlns="http://schemas.openxmlformats.org/spreadsheetml/2006/main" count="294" uniqueCount="62">
  <si>
    <t>TYPE</t>
  </si>
  <si>
    <t>Expense</t>
  </si>
  <si>
    <t>Sum of AMOUNT</t>
  </si>
  <si>
    <t>MONTH</t>
  </si>
  <si>
    <t>CATEGORY</t>
  </si>
  <si>
    <t>Jan</t>
  </si>
  <si>
    <t>Feb</t>
  </si>
  <si>
    <t>Mar</t>
  </si>
  <si>
    <t>Grand Total</t>
  </si>
  <si>
    <t>EATING OUT</t>
  </si>
  <si>
    <t>GROCERIES</t>
  </si>
  <si>
    <t>INSURANCE</t>
  </si>
  <si>
    <t>Misc</t>
  </si>
  <si>
    <t>RENT</t>
  </si>
  <si>
    <t>SAVINGS</t>
  </si>
  <si>
    <t>TRANSPORT</t>
  </si>
  <si>
    <t>UTILITIES</t>
  </si>
  <si>
    <t>DATE</t>
  </si>
  <si>
    <t>DESCRIPTION</t>
  </si>
  <si>
    <t>AMOUNT</t>
  </si>
  <si>
    <t>RENT PAYMENT</t>
  </si>
  <si>
    <t>ELECTRICITY</t>
  </si>
  <si>
    <t>GAS(COOKING)</t>
  </si>
  <si>
    <t>SALARY</t>
  </si>
  <si>
    <t>MONTHLY SALARY</t>
  </si>
  <si>
    <t>Income</t>
  </si>
  <si>
    <t>GROCERY STORE</t>
  </si>
  <si>
    <t>INTERNET</t>
  </si>
  <si>
    <t>HEALTH INSURANCE</t>
  </si>
  <si>
    <t>FUEL(CAR)</t>
  </si>
  <si>
    <t>CAR INSURANCE</t>
  </si>
  <si>
    <t>RESTURANT</t>
  </si>
  <si>
    <t>FUEL(GENERATOR)</t>
  </si>
  <si>
    <t>BUS/TAXI</t>
  </si>
  <si>
    <t>TAKEOUT</t>
  </si>
  <si>
    <t>CLOTHINGS</t>
  </si>
  <si>
    <t>SNACKS</t>
  </si>
  <si>
    <t>HAIRCUT</t>
  </si>
  <si>
    <t>GIFT</t>
  </si>
  <si>
    <t>TRANSFER TO SAVINGS</t>
  </si>
  <si>
    <t>INTEREST</t>
  </si>
  <si>
    <t>BANK INTEREST</t>
  </si>
  <si>
    <t>RESTAURANT</t>
  </si>
  <si>
    <t>UBER</t>
  </si>
  <si>
    <t>PHONE REPAIR</t>
  </si>
  <si>
    <t>SCHOOL SUPPLIES</t>
  </si>
  <si>
    <t>BIRTHDAY MONEY</t>
  </si>
  <si>
    <t>MONTHLY SUMMARY</t>
  </si>
  <si>
    <t>TOTAL INCOME</t>
  </si>
  <si>
    <t>TOTAL EXPENSE</t>
  </si>
  <si>
    <t>JAN</t>
  </si>
  <si>
    <t>FEB</t>
  </si>
  <si>
    <t>MAR</t>
  </si>
  <si>
    <t>TOTAL</t>
  </si>
  <si>
    <t>SAINGS SUMMARY</t>
  </si>
  <si>
    <t>METRIC</t>
  </si>
  <si>
    <t>VALUE</t>
  </si>
  <si>
    <t>TOTAL SAVED</t>
  </si>
  <si>
    <t>AVERAGE SAVINGS/MONTH</t>
  </si>
  <si>
    <t>BEST MONTH</t>
  </si>
  <si>
    <t>SAVINGS RATE(AVG)</t>
  </si>
  <si>
    <t>MONTHS WITH NEGATIVE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</si>
</sst>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2">
    <font>
      <sz val="11"/>
      <color theme="1"/>
      <name val="Calibri"/>
      <charset val="134"/>
      <scheme val="minor"/>
    </font>
    <font>
      <sz val="10.5"/>
      <name val="Consolas"/>
      <charset val="134"/>
    </font>
    <font>
      <sz val="9.8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NumberFormat="1" applyFont="1" applyFill="1">
      <alignment vertical="center"/>
    </xf>
    <xf numFmtId="0" fontId="0" fillId="0" borderId="0" xfId="0" applyNumberForma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0.405462963" refreshedBy="Oludare Folusho" recordCount="61">
  <cacheSource type="worksheet">
    <worksheetSource ref="A1:F1048576" sheet="Raw"/>
  </cacheSource>
  <cacheFields count="6">
    <cacheField name="DATE" numFmtId="0">
      <sharedItems containsString="0" containsBlank="1" containsNonDate="0" containsDate="1" minDate="2026-01-02T00:00:00" maxDate="2026-03-24T00:00:00" count="52">
        <d v="2026-01-02T00:00:00"/>
        <d v="2026-01-04T00:00:00"/>
        <d v="2026-01-05T00:00:00"/>
        <d v="2026-01-07T00:00:00"/>
        <d v="2026-01-08T00:00:00"/>
        <d v="2026-01-09T00:00:00"/>
        <d v="2026-01-10T00:00:00"/>
        <d v="2026-01-12T00:00:00"/>
        <d v="2026-01-15T00:00:00"/>
        <d v="2026-01-16T00:00:00"/>
        <d v="2026-01-19T00:00:00"/>
        <d v="2026-01-22T00:00:00"/>
        <d v="2026-01-24T00:00:00"/>
        <d v="2026-01-26T00:00:00"/>
        <d v="2026-01-28T00:00:00"/>
        <d v="2026-01-29T00:00:00"/>
        <d v="2026-01-30T00:00:00"/>
        <d v="2026-01-31T00:00:00"/>
        <d v="2026-02-02T00:00:00"/>
        <d v="2026-02-04T00:00:00"/>
        <d v="2026-02-05T00:00:00"/>
        <d v="2026-02-07T00:00:00"/>
        <d v="2026-02-08T00:00:00"/>
        <d v="2026-02-09T00:00:00"/>
        <d v="2026-02-11T00:00:00"/>
        <d v="2026-02-12T00:00:00"/>
        <d v="2026-02-15T00:00:00"/>
        <d v="2026-02-16T00:00:00"/>
        <d v="2026-02-18T00:00:00"/>
        <d v="2026-02-22T00:00:00"/>
        <d v="2026-02-23T00:00:00"/>
        <d v="2026-02-24T00:00:00"/>
        <d v="2026-02-25T00:00:00"/>
        <d v="2026-02-27T00:00:00"/>
        <d v="2026-02-28T00:00:00"/>
        <d v="2026-03-05T00:00:00"/>
        <d v="2026-03-06T00:00:00"/>
        <d v="2026-03-07T00:00:00"/>
        <d v="2026-03-10T00:00:00"/>
        <d v="2026-03-11T00:00:00"/>
        <d v="2026-03-12T00:00:00"/>
        <d v="2026-03-14T00:00:00"/>
        <d v="2026-03-15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m/>
      </sharedItems>
    </cacheField>
    <cacheField name="CATEGORY" numFmtId="0">
      <sharedItems containsBlank="1" count="12">
        <s v="RENT"/>
        <s v="UTILITIES"/>
        <s v="SALARY"/>
        <s v="GROCERIES"/>
        <s v="INSURANCE"/>
        <s v="TRANSPORT"/>
        <s v="EATING OUT"/>
        <s v="Misc"/>
        <s v="SAVINGS"/>
        <s v="INTEREST"/>
        <s v="GIFT"/>
        <m/>
      </sharedItems>
    </cacheField>
    <cacheField name="DESCRIPTION" numFmtId="0">
      <sharedItems containsBlank="1" count="25">
        <s v="RENT PAYMENT"/>
        <s v="ELECTRICITY"/>
        <s v="GAS(COOKING)"/>
        <s v="MONTHLY SALARY"/>
        <s v="GROCERY STORE"/>
        <s v="INTERNET"/>
        <s v="HEALTH INSURANCE"/>
        <s v="FUEL(CAR)"/>
        <s v="CAR INSURANCE"/>
        <s v="RESTURANT"/>
        <s v="FUEL(GENERATOR)"/>
        <s v="BUS/TAXI"/>
        <s v="TAKEOUT"/>
        <s v="CLOTHINGS"/>
        <s v="SNACKS"/>
        <s v="HAIRCUT"/>
        <s v="GIFT"/>
        <s v="TRANSFER TO SAVINGS"/>
        <s v="BANK INTEREST"/>
        <s v="RESTAURANT"/>
        <s v="UBER"/>
        <s v="PHONE REPAIR"/>
        <s v="SCHOOL SUPPLIES"/>
        <s v="BIRTHDAY MONEY"/>
        <m/>
      </sharedItems>
    </cacheField>
    <cacheField name="AMOUNT" numFmtId="178">
      <sharedItems containsString="0" containsBlank="1" containsNumber="1" containsInteger="1" minValue="2000" maxValue="400000" count="25">
        <n v="70000"/>
        <n v="15000"/>
        <n v="8000"/>
        <n v="400000"/>
        <n v="20000"/>
        <n v="12000"/>
        <n v="10000"/>
        <n v="7000"/>
        <n v="6000"/>
        <n v="5000"/>
        <n v="4000"/>
        <n v="3000"/>
        <n v="40000"/>
        <n v="2000"/>
        <n v="18000"/>
        <n v="22000"/>
        <n v="21050"/>
        <n v="16000"/>
        <n v="19000"/>
        <n v="11000"/>
        <n v="13000"/>
        <n v="28900"/>
        <n v="23000"/>
        <n v="60000"/>
        <m/>
      </sharedItems>
    </cacheField>
    <cacheField name="TYPE" numFmtId="0">
      <sharedItems containsBlank="1" count="3">
        <s v="Expense"/>
        <s v="Income"/>
        <m/>
      </sharedItems>
    </cacheField>
    <cacheField name="MONTH" numFmtId="0">
      <sharedItems containsBlank="1" count="4">
        <s v="Jan"/>
        <s v="Feb"/>
        <s v="Mar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x v="0"/>
    <x v="0"/>
    <x v="0"/>
    <x v="0"/>
    <x v="0"/>
  </r>
  <r>
    <x v="1"/>
    <x v="1"/>
    <x v="1"/>
    <x v="1"/>
    <x v="0"/>
    <x v="0"/>
  </r>
  <r>
    <x v="1"/>
    <x v="1"/>
    <x v="2"/>
    <x v="2"/>
    <x v="0"/>
    <x v="0"/>
  </r>
  <r>
    <x v="2"/>
    <x v="2"/>
    <x v="3"/>
    <x v="3"/>
    <x v="1"/>
    <x v="0"/>
  </r>
  <r>
    <x v="3"/>
    <x v="3"/>
    <x v="4"/>
    <x v="4"/>
    <x v="0"/>
    <x v="0"/>
  </r>
  <r>
    <x v="4"/>
    <x v="1"/>
    <x v="5"/>
    <x v="1"/>
    <x v="0"/>
    <x v="0"/>
  </r>
  <r>
    <x v="5"/>
    <x v="4"/>
    <x v="6"/>
    <x v="5"/>
    <x v="0"/>
    <x v="0"/>
  </r>
  <r>
    <x v="6"/>
    <x v="3"/>
    <x v="4"/>
    <x v="1"/>
    <x v="0"/>
    <x v="0"/>
  </r>
  <r>
    <x v="7"/>
    <x v="5"/>
    <x v="7"/>
    <x v="4"/>
    <x v="0"/>
    <x v="0"/>
  </r>
  <r>
    <x v="8"/>
    <x v="3"/>
    <x v="4"/>
    <x v="4"/>
    <x v="0"/>
    <x v="0"/>
  </r>
  <r>
    <x v="9"/>
    <x v="4"/>
    <x v="8"/>
    <x v="2"/>
    <x v="0"/>
    <x v="0"/>
  </r>
  <r>
    <x v="9"/>
    <x v="6"/>
    <x v="9"/>
    <x v="6"/>
    <x v="0"/>
    <x v="0"/>
  </r>
  <r>
    <x v="10"/>
    <x v="1"/>
    <x v="10"/>
    <x v="6"/>
    <x v="0"/>
    <x v="0"/>
  </r>
  <r>
    <x v="11"/>
    <x v="5"/>
    <x v="11"/>
    <x v="7"/>
    <x v="0"/>
    <x v="0"/>
  </r>
  <r>
    <x v="12"/>
    <x v="6"/>
    <x v="12"/>
    <x v="8"/>
    <x v="0"/>
    <x v="0"/>
  </r>
  <r>
    <x v="13"/>
    <x v="7"/>
    <x v="13"/>
    <x v="9"/>
    <x v="0"/>
    <x v="0"/>
  </r>
  <r>
    <x v="14"/>
    <x v="6"/>
    <x v="14"/>
    <x v="10"/>
    <x v="0"/>
    <x v="0"/>
  </r>
  <r>
    <x v="15"/>
    <x v="7"/>
    <x v="15"/>
    <x v="11"/>
    <x v="0"/>
    <x v="0"/>
  </r>
  <r>
    <x v="16"/>
    <x v="7"/>
    <x v="16"/>
    <x v="7"/>
    <x v="0"/>
    <x v="0"/>
  </r>
  <r>
    <x v="17"/>
    <x v="8"/>
    <x v="17"/>
    <x v="12"/>
    <x v="0"/>
    <x v="0"/>
  </r>
  <r>
    <x v="17"/>
    <x v="9"/>
    <x v="18"/>
    <x v="13"/>
    <x v="1"/>
    <x v="0"/>
  </r>
  <r>
    <x v="18"/>
    <x v="0"/>
    <x v="0"/>
    <x v="0"/>
    <x v="1"/>
    <x v="1"/>
  </r>
  <r>
    <x v="19"/>
    <x v="1"/>
    <x v="1"/>
    <x v="14"/>
    <x v="0"/>
    <x v="1"/>
  </r>
  <r>
    <x v="19"/>
    <x v="1"/>
    <x v="2"/>
    <x v="6"/>
    <x v="0"/>
    <x v="1"/>
  </r>
  <r>
    <x v="20"/>
    <x v="2"/>
    <x v="3"/>
    <x v="3"/>
    <x v="1"/>
    <x v="1"/>
  </r>
  <r>
    <x v="21"/>
    <x v="3"/>
    <x v="4"/>
    <x v="15"/>
    <x v="0"/>
    <x v="1"/>
  </r>
  <r>
    <x v="22"/>
    <x v="1"/>
    <x v="5"/>
    <x v="4"/>
    <x v="0"/>
    <x v="1"/>
  </r>
  <r>
    <x v="23"/>
    <x v="4"/>
    <x v="6"/>
    <x v="5"/>
    <x v="0"/>
    <x v="1"/>
  </r>
  <r>
    <x v="23"/>
    <x v="4"/>
    <x v="8"/>
    <x v="2"/>
    <x v="0"/>
    <x v="1"/>
  </r>
  <r>
    <x v="24"/>
    <x v="3"/>
    <x v="4"/>
    <x v="16"/>
    <x v="0"/>
    <x v="1"/>
  </r>
  <r>
    <x v="25"/>
    <x v="5"/>
    <x v="7"/>
    <x v="1"/>
    <x v="0"/>
    <x v="1"/>
  </r>
  <r>
    <x v="26"/>
    <x v="3"/>
    <x v="4"/>
    <x v="6"/>
    <x v="0"/>
    <x v="1"/>
  </r>
  <r>
    <x v="27"/>
    <x v="6"/>
    <x v="19"/>
    <x v="5"/>
    <x v="0"/>
    <x v="1"/>
  </r>
  <r>
    <x v="28"/>
    <x v="1"/>
    <x v="10"/>
    <x v="5"/>
    <x v="0"/>
    <x v="1"/>
  </r>
  <r>
    <x v="29"/>
    <x v="5"/>
    <x v="11"/>
    <x v="8"/>
    <x v="0"/>
    <x v="1"/>
  </r>
  <r>
    <x v="30"/>
    <x v="6"/>
    <x v="12"/>
    <x v="8"/>
    <x v="0"/>
    <x v="1"/>
  </r>
  <r>
    <x v="31"/>
    <x v="5"/>
    <x v="20"/>
    <x v="9"/>
    <x v="0"/>
    <x v="1"/>
  </r>
  <r>
    <x v="32"/>
    <x v="7"/>
    <x v="21"/>
    <x v="17"/>
    <x v="0"/>
    <x v="1"/>
  </r>
  <r>
    <x v="33"/>
    <x v="7"/>
    <x v="22"/>
    <x v="6"/>
    <x v="0"/>
    <x v="1"/>
  </r>
  <r>
    <x v="34"/>
    <x v="8"/>
    <x v="17"/>
    <x v="12"/>
    <x v="0"/>
    <x v="1"/>
  </r>
  <r>
    <x v="34"/>
    <x v="9"/>
    <x v="18"/>
    <x v="13"/>
    <x v="1"/>
    <x v="1"/>
  </r>
  <r>
    <x v="35"/>
    <x v="2"/>
    <x v="3"/>
    <x v="3"/>
    <x v="1"/>
    <x v="2"/>
  </r>
  <r>
    <x v="36"/>
    <x v="0"/>
    <x v="0"/>
    <x v="0"/>
    <x v="0"/>
    <x v="2"/>
  </r>
  <r>
    <x v="37"/>
    <x v="3"/>
    <x v="4"/>
    <x v="1"/>
    <x v="0"/>
    <x v="2"/>
  </r>
  <r>
    <x v="38"/>
    <x v="1"/>
    <x v="1"/>
    <x v="4"/>
    <x v="0"/>
    <x v="2"/>
  </r>
  <r>
    <x v="39"/>
    <x v="1"/>
    <x v="2"/>
    <x v="5"/>
    <x v="0"/>
    <x v="2"/>
  </r>
  <r>
    <x v="40"/>
    <x v="1"/>
    <x v="5"/>
    <x v="18"/>
    <x v="0"/>
    <x v="2"/>
  </r>
  <r>
    <x v="41"/>
    <x v="3"/>
    <x v="4"/>
    <x v="19"/>
    <x v="0"/>
    <x v="2"/>
  </r>
  <r>
    <x v="41"/>
    <x v="1"/>
    <x v="10"/>
    <x v="20"/>
    <x v="0"/>
    <x v="2"/>
  </r>
  <r>
    <x v="42"/>
    <x v="5"/>
    <x v="11"/>
    <x v="7"/>
    <x v="0"/>
    <x v="2"/>
  </r>
  <r>
    <x v="43"/>
    <x v="4"/>
    <x v="6"/>
    <x v="5"/>
    <x v="0"/>
    <x v="2"/>
  </r>
  <r>
    <x v="44"/>
    <x v="4"/>
    <x v="8"/>
    <x v="2"/>
    <x v="0"/>
    <x v="2"/>
  </r>
  <r>
    <x v="45"/>
    <x v="10"/>
    <x v="23"/>
    <x v="12"/>
    <x v="1"/>
    <x v="2"/>
  </r>
  <r>
    <x v="45"/>
    <x v="6"/>
    <x v="19"/>
    <x v="21"/>
    <x v="0"/>
    <x v="2"/>
  </r>
  <r>
    <x v="46"/>
    <x v="6"/>
    <x v="12"/>
    <x v="2"/>
    <x v="0"/>
    <x v="2"/>
  </r>
  <r>
    <x v="47"/>
    <x v="5"/>
    <x v="7"/>
    <x v="5"/>
    <x v="0"/>
    <x v="2"/>
  </r>
  <r>
    <x v="48"/>
    <x v="7"/>
    <x v="22"/>
    <x v="17"/>
    <x v="0"/>
    <x v="2"/>
  </r>
  <r>
    <x v="49"/>
    <x v="3"/>
    <x v="4"/>
    <x v="22"/>
    <x v="0"/>
    <x v="2"/>
  </r>
  <r>
    <x v="49"/>
    <x v="8"/>
    <x v="17"/>
    <x v="23"/>
    <x v="0"/>
    <x v="2"/>
  </r>
  <r>
    <x v="50"/>
    <x v="9"/>
    <x v="18"/>
    <x v="11"/>
    <x v="1"/>
    <x v="2"/>
  </r>
  <r>
    <x v="51"/>
    <x v="11"/>
    <x v="24"/>
    <x v="24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13" firstHeaderRow="1" firstDataRow="2" firstDataCol="1" rowPageCount="1" colPageCount="1"/>
  <pivotFields count="6">
    <pivotField compact="0" showAll="0"/>
    <pivotField axis="axisRow" compact="0" showAll="0">
      <items count="13">
        <item x="6"/>
        <item x="10"/>
        <item x="3"/>
        <item x="4"/>
        <item x="9"/>
        <item x="7"/>
        <item x="0"/>
        <item x="2"/>
        <item x="8"/>
        <item x="5"/>
        <item x="1"/>
        <item x="11"/>
        <item t="default"/>
      </items>
    </pivotField>
    <pivotField compact="0" showAll="0"/>
    <pivotField dataField="1" compact="0" showAll="0"/>
    <pivotField axis="axisPage" compact="0" multipleItemSelectionAllowed="1" showAll="0">
      <items count="4">
        <item x="0"/>
        <item h="1" x="1"/>
        <item h="1" x="2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9">
    <i>
      <x/>
    </i>
    <i>
      <x v="2"/>
    </i>
    <i>
      <x v="3"/>
    </i>
    <i>
      <x v="5"/>
    </i>
    <i>
      <x v="6"/>
    </i>
    <i>
      <x v="8"/>
    </i>
    <i>
      <x v="9"/>
    </i>
    <i>
      <x v="1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4"/>
  </pageFields>
  <dataFields count="1">
    <dataField name="Sum of AMOUNT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C18" sqref="C18"/>
    </sheetView>
  </sheetViews>
  <sheetFormatPr defaultColWidth="9.14285714285714" defaultRowHeight="15" outlineLevelCol="4"/>
  <cols>
    <col min="1" max="1" width="17.4285714285714"/>
    <col min="2" max="4" width="11"/>
    <col min="5" max="6" width="11.8571428571429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>
        <v>20000</v>
      </c>
      <c r="C5">
        <v>18000</v>
      </c>
      <c r="D5">
        <v>36900</v>
      </c>
      <c r="E5">
        <v>74900</v>
      </c>
    </row>
    <row r="6" spans="1:5">
      <c r="A6" t="s">
        <v>10</v>
      </c>
      <c r="B6">
        <v>55000</v>
      </c>
      <c r="C6">
        <v>53050</v>
      </c>
      <c r="D6">
        <v>49000</v>
      </c>
      <c r="E6">
        <v>157050</v>
      </c>
    </row>
    <row r="7" spans="1:5">
      <c r="A7" t="s">
        <v>11</v>
      </c>
      <c r="B7">
        <v>20000</v>
      </c>
      <c r="C7">
        <v>20000</v>
      </c>
      <c r="D7">
        <v>20000</v>
      </c>
      <c r="E7">
        <v>60000</v>
      </c>
    </row>
    <row r="8" spans="1:5">
      <c r="A8" t="s">
        <v>12</v>
      </c>
      <c r="B8">
        <v>15000</v>
      </c>
      <c r="C8">
        <v>26000</v>
      </c>
      <c r="D8">
        <v>16000</v>
      </c>
      <c r="E8">
        <v>57000</v>
      </c>
    </row>
    <row r="9" spans="1:5">
      <c r="A9" t="s">
        <v>13</v>
      </c>
      <c r="B9">
        <v>70000</v>
      </c>
      <c r="C9"/>
      <c r="D9">
        <v>70000</v>
      </c>
      <c r="E9">
        <v>140000</v>
      </c>
    </row>
    <row r="10" spans="1:5">
      <c r="A10" t="s">
        <v>14</v>
      </c>
      <c r="B10">
        <v>40000</v>
      </c>
      <c r="C10">
        <v>40000</v>
      </c>
      <c r="D10">
        <v>60000</v>
      </c>
      <c r="E10">
        <v>140000</v>
      </c>
    </row>
    <row r="11" spans="1:5">
      <c r="A11" t="s">
        <v>15</v>
      </c>
      <c r="B11">
        <v>27000</v>
      </c>
      <c r="C11">
        <v>26000</v>
      </c>
      <c r="D11">
        <v>19000</v>
      </c>
      <c r="E11">
        <v>72000</v>
      </c>
    </row>
    <row r="12" spans="1:5">
      <c r="A12" t="s">
        <v>16</v>
      </c>
      <c r="B12">
        <v>48000</v>
      </c>
      <c r="C12">
        <v>60000</v>
      </c>
      <c r="D12">
        <v>64000</v>
      </c>
      <c r="E12">
        <v>172000</v>
      </c>
    </row>
    <row r="13" spans="1:5">
      <c r="A13" t="s">
        <v>8</v>
      </c>
      <c r="B13">
        <v>295000</v>
      </c>
      <c r="C13">
        <v>243050</v>
      </c>
      <c r="D13">
        <v>334900</v>
      </c>
      <c r="E13">
        <v>872950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pane ySplit="1" topLeftCell="A2" activePane="bottomLeft" state="frozen"/>
      <selection/>
      <selection pane="bottomLeft" activeCell="C10" sqref="$A1:$XFD1048576"/>
    </sheetView>
  </sheetViews>
  <sheetFormatPr defaultColWidth="9.14285714285714" defaultRowHeight="15" outlineLevelCol="5"/>
  <cols>
    <col min="2" max="2" width="14.1428571428571" customWidth="1"/>
    <col min="3" max="3" width="21.2857142857143" customWidth="1"/>
    <col min="4" max="4" width="18.4285714285714" style="13" customWidth="1"/>
  </cols>
  <sheetData>
    <row r="1" spans="1:6">
      <c r="A1" t="s">
        <v>17</v>
      </c>
      <c r="B1" t="s">
        <v>4</v>
      </c>
      <c r="C1" t="s">
        <v>18</v>
      </c>
      <c r="D1" s="13" t="s">
        <v>19</v>
      </c>
      <c r="E1" t="s">
        <v>0</v>
      </c>
      <c r="F1" t="s">
        <v>3</v>
      </c>
    </row>
    <row r="2" spans="1:6">
      <c r="A2" s="14">
        <v>46024</v>
      </c>
      <c r="B2" t="s">
        <v>13</v>
      </c>
      <c r="C2" t="s">
        <v>20</v>
      </c>
      <c r="D2" s="13">
        <v>70000</v>
      </c>
      <c r="E2" s="6" t="s">
        <v>1</v>
      </c>
      <c r="F2" t="s">
        <v>5</v>
      </c>
    </row>
    <row r="3" spans="1:6">
      <c r="A3" s="14">
        <v>46026</v>
      </c>
      <c r="B3" t="s">
        <v>16</v>
      </c>
      <c r="C3" t="s">
        <v>21</v>
      </c>
      <c r="D3" s="13">
        <v>15000</v>
      </c>
      <c r="E3" s="6" t="s">
        <v>1</v>
      </c>
      <c r="F3" t="s">
        <v>5</v>
      </c>
    </row>
    <row r="4" spans="1:6">
      <c r="A4" s="14">
        <v>46026</v>
      </c>
      <c r="B4" t="s">
        <v>16</v>
      </c>
      <c r="C4" t="s">
        <v>22</v>
      </c>
      <c r="D4" s="13">
        <v>8000</v>
      </c>
      <c r="E4" s="6" t="s">
        <v>1</v>
      </c>
      <c r="F4" t="s">
        <v>5</v>
      </c>
    </row>
    <row r="5" spans="1:6">
      <c r="A5" s="14">
        <v>46027</v>
      </c>
      <c r="B5" t="s">
        <v>23</v>
      </c>
      <c r="C5" t="s">
        <v>24</v>
      </c>
      <c r="D5" s="13">
        <v>400000</v>
      </c>
      <c r="E5" s="5" t="s">
        <v>25</v>
      </c>
      <c r="F5" t="s">
        <v>5</v>
      </c>
    </row>
    <row r="6" spans="1:6">
      <c r="A6" s="14">
        <v>46029</v>
      </c>
      <c r="B6" t="s">
        <v>10</v>
      </c>
      <c r="C6" t="s">
        <v>26</v>
      </c>
      <c r="D6" s="13">
        <v>20000</v>
      </c>
      <c r="E6" s="6" t="s">
        <v>1</v>
      </c>
      <c r="F6" t="s">
        <v>5</v>
      </c>
    </row>
    <row r="7" spans="1:6">
      <c r="A7" s="14">
        <v>46030</v>
      </c>
      <c r="B7" t="s">
        <v>16</v>
      </c>
      <c r="C7" t="s">
        <v>27</v>
      </c>
      <c r="D7" s="13">
        <v>15000</v>
      </c>
      <c r="E7" s="6" t="s">
        <v>1</v>
      </c>
      <c r="F7" t="s">
        <v>5</v>
      </c>
    </row>
    <row r="8" spans="1:6">
      <c r="A8" s="14">
        <v>46031</v>
      </c>
      <c r="B8" t="s">
        <v>11</v>
      </c>
      <c r="C8" t="s">
        <v>28</v>
      </c>
      <c r="D8" s="13">
        <v>12000</v>
      </c>
      <c r="E8" s="6" t="s">
        <v>1</v>
      </c>
      <c r="F8" t="s">
        <v>5</v>
      </c>
    </row>
    <row r="9" spans="1:6">
      <c r="A9" s="14">
        <v>46032</v>
      </c>
      <c r="B9" t="s">
        <v>10</v>
      </c>
      <c r="C9" t="s">
        <v>26</v>
      </c>
      <c r="D9" s="13">
        <v>15000</v>
      </c>
      <c r="E9" s="6" t="s">
        <v>1</v>
      </c>
      <c r="F9" t="s">
        <v>5</v>
      </c>
    </row>
    <row r="10" spans="1:6">
      <c r="A10" s="14">
        <v>46034</v>
      </c>
      <c r="B10" t="s">
        <v>15</v>
      </c>
      <c r="C10" t="s">
        <v>29</v>
      </c>
      <c r="D10" s="13">
        <v>20000</v>
      </c>
      <c r="E10" s="6" t="s">
        <v>1</v>
      </c>
      <c r="F10" t="s">
        <v>5</v>
      </c>
    </row>
    <row r="11" spans="1:6">
      <c r="A11" s="14">
        <v>46037</v>
      </c>
      <c r="B11" t="s">
        <v>10</v>
      </c>
      <c r="C11" t="s">
        <v>26</v>
      </c>
      <c r="D11" s="13">
        <v>20000</v>
      </c>
      <c r="E11" s="6" t="s">
        <v>1</v>
      </c>
      <c r="F11" t="s">
        <v>5</v>
      </c>
    </row>
    <row r="12" spans="1:6">
      <c r="A12" s="14">
        <v>46038</v>
      </c>
      <c r="B12" t="s">
        <v>11</v>
      </c>
      <c r="C12" t="s">
        <v>30</v>
      </c>
      <c r="D12" s="13">
        <v>8000</v>
      </c>
      <c r="E12" s="6" t="s">
        <v>1</v>
      </c>
      <c r="F12" t="s">
        <v>5</v>
      </c>
    </row>
    <row r="13" spans="1:6">
      <c r="A13" s="14">
        <v>46038</v>
      </c>
      <c r="B13" t="s">
        <v>9</v>
      </c>
      <c r="C13" t="s">
        <v>31</v>
      </c>
      <c r="D13" s="13">
        <v>10000</v>
      </c>
      <c r="E13" s="6" t="s">
        <v>1</v>
      </c>
      <c r="F13" t="s">
        <v>5</v>
      </c>
    </row>
    <row r="14" spans="1:6">
      <c r="A14" s="14">
        <v>46041</v>
      </c>
      <c r="B14" t="s">
        <v>16</v>
      </c>
      <c r="C14" t="s">
        <v>32</v>
      </c>
      <c r="D14" s="13">
        <v>10000</v>
      </c>
      <c r="E14" s="6" t="s">
        <v>1</v>
      </c>
      <c r="F14" t="s">
        <v>5</v>
      </c>
    </row>
    <row r="15" spans="1:6">
      <c r="A15" s="14">
        <v>46044</v>
      </c>
      <c r="B15" t="s">
        <v>15</v>
      </c>
      <c r="C15" t="s">
        <v>33</v>
      </c>
      <c r="D15" s="13">
        <v>7000</v>
      </c>
      <c r="E15" s="6" t="s">
        <v>1</v>
      </c>
      <c r="F15" t="s">
        <v>5</v>
      </c>
    </row>
    <row r="16" spans="1:6">
      <c r="A16" s="14">
        <v>46046</v>
      </c>
      <c r="B16" t="s">
        <v>9</v>
      </c>
      <c r="C16" t="s">
        <v>34</v>
      </c>
      <c r="D16" s="13">
        <v>6000</v>
      </c>
      <c r="E16" s="6" t="s">
        <v>1</v>
      </c>
      <c r="F16" t="s">
        <v>5</v>
      </c>
    </row>
    <row r="17" spans="1:6">
      <c r="A17" s="14">
        <v>46048</v>
      </c>
      <c r="B17" t="s">
        <v>12</v>
      </c>
      <c r="C17" t="s">
        <v>35</v>
      </c>
      <c r="D17" s="13">
        <v>5000</v>
      </c>
      <c r="E17" s="6" t="s">
        <v>1</v>
      </c>
      <c r="F17" t="s">
        <v>5</v>
      </c>
    </row>
    <row r="18" spans="1:6">
      <c r="A18" s="14">
        <v>46050</v>
      </c>
      <c r="B18" t="s">
        <v>9</v>
      </c>
      <c r="C18" t="s">
        <v>36</v>
      </c>
      <c r="D18" s="13">
        <v>4000</v>
      </c>
      <c r="E18" s="6" t="s">
        <v>1</v>
      </c>
      <c r="F18" t="s">
        <v>5</v>
      </c>
    </row>
    <row r="19" spans="1:6">
      <c r="A19" s="14">
        <v>46051</v>
      </c>
      <c r="B19" t="s">
        <v>12</v>
      </c>
      <c r="C19" t="s">
        <v>37</v>
      </c>
      <c r="D19" s="13">
        <v>3000</v>
      </c>
      <c r="E19" s="6" t="s">
        <v>1</v>
      </c>
      <c r="F19" t="s">
        <v>5</v>
      </c>
    </row>
    <row r="20" spans="1:6">
      <c r="A20" s="14">
        <v>46052</v>
      </c>
      <c r="B20" t="s">
        <v>12</v>
      </c>
      <c r="C20" t="s">
        <v>38</v>
      </c>
      <c r="D20" s="13">
        <v>7000</v>
      </c>
      <c r="E20" s="6" t="s">
        <v>1</v>
      </c>
      <c r="F20" t="s">
        <v>5</v>
      </c>
    </row>
    <row r="21" spans="1:6">
      <c r="A21" s="14">
        <v>46053</v>
      </c>
      <c r="B21" t="s">
        <v>14</v>
      </c>
      <c r="C21" t="s">
        <v>39</v>
      </c>
      <c r="D21" s="13">
        <v>40000</v>
      </c>
      <c r="E21" s="6" t="s">
        <v>1</v>
      </c>
      <c r="F21" t="s">
        <v>5</v>
      </c>
    </row>
    <row r="22" spans="1:6">
      <c r="A22" s="14">
        <v>46053</v>
      </c>
      <c r="B22" t="s">
        <v>40</v>
      </c>
      <c r="C22" t="s">
        <v>41</v>
      </c>
      <c r="D22" s="13">
        <v>2000</v>
      </c>
      <c r="E22" s="5" t="s">
        <v>25</v>
      </c>
      <c r="F22" t="s">
        <v>5</v>
      </c>
    </row>
    <row r="23" spans="1:6">
      <c r="A23" s="14">
        <v>46055</v>
      </c>
      <c r="B23" t="s">
        <v>13</v>
      </c>
      <c r="C23" t="s">
        <v>20</v>
      </c>
      <c r="D23" s="13">
        <v>70000</v>
      </c>
      <c r="E23" s="5" t="s">
        <v>25</v>
      </c>
      <c r="F23" t="s">
        <v>6</v>
      </c>
    </row>
    <row r="24" spans="1:6">
      <c r="A24" s="14">
        <v>46057</v>
      </c>
      <c r="B24" t="s">
        <v>16</v>
      </c>
      <c r="C24" t="s">
        <v>21</v>
      </c>
      <c r="D24" s="13">
        <v>18000</v>
      </c>
      <c r="E24" s="6" t="s">
        <v>1</v>
      </c>
      <c r="F24" t="s">
        <v>6</v>
      </c>
    </row>
    <row r="25" spans="1:6">
      <c r="A25" s="14">
        <v>46057</v>
      </c>
      <c r="B25" t="s">
        <v>16</v>
      </c>
      <c r="C25" t="s">
        <v>22</v>
      </c>
      <c r="D25" s="13">
        <v>10000</v>
      </c>
      <c r="E25" s="6" t="s">
        <v>1</v>
      </c>
      <c r="F25" t="s">
        <v>6</v>
      </c>
    </row>
    <row r="26" spans="1:6">
      <c r="A26" s="14">
        <v>46058</v>
      </c>
      <c r="B26" t="s">
        <v>23</v>
      </c>
      <c r="C26" t="s">
        <v>24</v>
      </c>
      <c r="D26" s="13">
        <v>400000</v>
      </c>
      <c r="E26" s="5" t="s">
        <v>25</v>
      </c>
      <c r="F26" t="s">
        <v>6</v>
      </c>
    </row>
    <row r="27" spans="1:6">
      <c r="A27" s="14">
        <v>46060</v>
      </c>
      <c r="B27" t="s">
        <v>10</v>
      </c>
      <c r="C27" t="s">
        <v>26</v>
      </c>
      <c r="D27" s="13">
        <v>22000</v>
      </c>
      <c r="E27" s="6" t="s">
        <v>1</v>
      </c>
      <c r="F27" t="s">
        <v>6</v>
      </c>
    </row>
    <row r="28" spans="1:6">
      <c r="A28" s="14">
        <v>46061</v>
      </c>
      <c r="B28" t="s">
        <v>16</v>
      </c>
      <c r="C28" t="s">
        <v>27</v>
      </c>
      <c r="D28" s="13">
        <v>20000</v>
      </c>
      <c r="E28" s="6" t="s">
        <v>1</v>
      </c>
      <c r="F28" t="s">
        <v>6</v>
      </c>
    </row>
    <row r="29" spans="1:6">
      <c r="A29" s="14">
        <v>46062</v>
      </c>
      <c r="B29" t="s">
        <v>11</v>
      </c>
      <c r="C29" t="s">
        <v>28</v>
      </c>
      <c r="D29" s="13">
        <v>12000</v>
      </c>
      <c r="E29" s="6" t="s">
        <v>1</v>
      </c>
      <c r="F29" t="s">
        <v>6</v>
      </c>
    </row>
    <row r="30" spans="1:6">
      <c r="A30" s="14">
        <v>46062</v>
      </c>
      <c r="B30" t="s">
        <v>11</v>
      </c>
      <c r="C30" t="s">
        <v>30</v>
      </c>
      <c r="D30" s="13">
        <v>8000</v>
      </c>
      <c r="E30" s="6" t="s">
        <v>1</v>
      </c>
      <c r="F30" t="s">
        <v>6</v>
      </c>
    </row>
    <row r="31" spans="1:6">
      <c r="A31" s="14">
        <v>46064</v>
      </c>
      <c r="B31" t="s">
        <v>10</v>
      </c>
      <c r="C31" t="s">
        <v>26</v>
      </c>
      <c r="D31" s="13">
        <v>21050</v>
      </c>
      <c r="E31" s="6" t="s">
        <v>1</v>
      </c>
      <c r="F31" t="s">
        <v>6</v>
      </c>
    </row>
    <row r="32" spans="1:6">
      <c r="A32" s="14">
        <v>46065</v>
      </c>
      <c r="B32" t="s">
        <v>15</v>
      </c>
      <c r="C32" t="s">
        <v>29</v>
      </c>
      <c r="D32" s="13">
        <v>15000</v>
      </c>
      <c r="E32" s="6" t="s">
        <v>1</v>
      </c>
      <c r="F32" t="s">
        <v>6</v>
      </c>
    </row>
    <row r="33" spans="1:6">
      <c r="A33" s="14">
        <v>46068</v>
      </c>
      <c r="B33" t="s">
        <v>10</v>
      </c>
      <c r="C33" t="s">
        <v>26</v>
      </c>
      <c r="D33" s="13">
        <v>10000</v>
      </c>
      <c r="E33" s="6" t="s">
        <v>1</v>
      </c>
      <c r="F33" t="s">
        <v>6</v>
      </c>
    </row>
    <row r="34" spans="1:6">
      <c r="A34" s="14">
        <v>46069</v>
      </c>
      <c r="B34" t="s">
        <v>9</v>
      </c>
      <c r="C34" t="s">
        <v>42</v>
      </c>
      <c r="D34" s="13">
        <v>12000</v>
      </c>
      <c r="E34" s="6" t="s">
        <v>1</v>
      </c>
      <c r="F34" t="s">
        <v>6</v>
      </c>
    </row>
    <row r="35" spans="1:6">
      <c r="A35" s="14">
        <v>46071</v>
      </c>
      <c r="B35" t="s">
        <v>16</v>
      </c>
      <c r="C35" t="s">
        <v>32</v>
      </c>
      <c r="D35" s="13">
        <v>12000</v>
      </c>
      <c r="E35" s="6" t="s">
        <v>1</v>
      </c>
      <c r="F35" t="s">
        <v>6</v>
      </c>
    </row>
    <row r="36" spans="1:6">
      <c r="A36" s="14">
        <v>46075</v>
      </c>
      <c r="B36" t="s">
        <v>15</v>
      </c>
      <c r="C36" t="s">
        <v>33</v>
      </c>
      <c r="D36" s="13">
        <v>6000</v>
      </c>
      <c r="E36" s="6" t="s">
        <v>1</v>
      </c>
      <c r="F36" t="s">
        <v>6</v>
      </c>
    </row>
    <row r="37" spans="1:6">
      <c r="A37" s="14">
        <v>46076</v>
      </c>
      <c r="B37" t="s">
        <v>9</v>
      </c>
      <c r="C37" t="s">
        <v>34</v>
      </c>
      <c r="D37" s="13">
        <v>6000</v>
      </c>
      <c r="E37" s="6" t="s">
        <v>1</v>
      </c>
      <c r="F37" t="s">
        <v>6</v>
      </c>
    </row>
    <row r="38" spans="1:6">
      <c r="A38" s="14">
        <v>46077</v>
      </c>
      <c r="B38" t="s">
        <v>15</v>
      </c>
      <c r="C38" t="s">
        <v>43</v>
      </c>
      <c r="D38" s="13">
        <v>5000</v>
      </c>
      <c r="E38" s="6" t="s">
        <v>1</v>
      </c>
      <c r="F38" t="s">
        <v>6</v>
      </c>
    </row>
    <row r="39" spans="1:6">
      <c r="A39" s="14">
        <v>46078</v>
      </c>
      <c r="B39" t="s">
        <v>12</v>
      </c>
      <c r="C39" t="s">
        <v>44</v>
      </c>
      <c r="D39" s="13">
        <v>16000</v>
      </c>
      <c r="E39" s="6" t="s">
        <v>1</v>
      </c>
      <c r="F39" t="s">
        <v>6</v>
      </c>
    </row>
    <row r="40" spans="1:6">
      <c r="A40" s="14">
        <v>46080</v>
      </c>
      <c r="B40" t="s">
        <v>12</v>
      </c>
      <c r="C40" t="s">
        <v>45</v>
      </c>
      <c r="D40" s="13">
        <v>10000</v>
      </c>
      <c r="E40" s="6" t="s">
        <v>1</v>
      </c>
      <c r="F40" t="s">
        <v>6</v>
      </c>
    </row>
    <row r="41" spans="1:6">
      <c r="A41" s="14">
        <v>46081</v>
      </c>
      <c r="B41" t="s">
        <v>14</v>
      </c>
      <c r="C41" t="s">
        <v>39</v>
      </c>
      <c r="D41" s="13">
        <v>40000</v>
      </c>
      <c r="E41" s="6" t="s">
        <v>1</v>
      </c>
      <c r="F41" t="s">
        <v>6</v>
      </c>
    </row>
    <row r="42" spans="1:6">
      <c r="A42" s="14">
        <v>46081</v>
      </c>
      <c r="B42" t="s">
        <v>40</v>
      </c>
      <c r="C42" t="s">
        <v>41</v>
      </c>
      <c r="D42" s="13">
        <v>2000</v>
      </c>
      <c r="E42" s="5" t="s">
        <v>25</v>
      </c>
      <c r="F42" t="s">
        <v>6</v>
      </c>
    </row>
    <row r="43" spans="1:6">
      <c r="A43" s="14">
        <v>46086</v>
      </c>
      <c r="B43" t="s">
        <v>23</v>
      </c>
      <c r="C43" t="s">
        <v>24</v>
      </c>
      <c r="D43" s="13">
        <v>400000</v>
      </c>
      <c r="E43" s="5" t="s">
        <v>25</v>
      </c>
      <c r="F43" t="s">
        <v>7</v>
      </c>
    </row>
    <row r="44" spans="1:6">
      <c r="A44" s="14">
        <v>46087</v>
      </c>
      <c r="B44" t="s">
        <v>13</v>
      </c>
      <c r="C44" t="s">
        <v>20</v>
      </c>
      <c r="D44" s="13">
        <v>70000</v>
      </c>
      <c r="E44" s="6" t="s">
        <v>1</v>
      </c>
      <c r="F44" t="s">
        <v>7</v>
      </c>
    </row>
    <row r="45" spans="1:6">
      <c r="A45" s="14">
        <v>46088</v>
      </c>
      <c r="B45" t="s">
        <v>10</v>
      </c>
      <c r="C45" t="s">
        <v>26</v>
      </c>
      <c r="D45" s="13">
        <v>15000</v>
      </c>
      <c r="E45" s="6" t="s">
        <v>1</v>
      </c>
      <c r="F45" t="s">
        <v>7</v>
      </c>
    </row>
    <row r="46" spans="1:6">
      <c r="A46" s="14">
        <v>46091</v>
      </c>
      <c r="B46" t="s">
        <v>16</v>
      </c>
      <c r="C46" t="s">
        <v>21</v>
      </c>
      <c r="D46" s="13">
        <v>20000</v>
      </c>
      <c r="E46" s="6" t="s">
        <v>1</v>
      </c>
      <c r="F46" t="s">
        <v>7</v>
      </c>
    </row>
    <row r="47" spans="1:6">
      <c r="A47" s="14">
        <v>46092</v>
      </c>
      <c r="B47" t="s">
        <v>16</v>
      </c>
      <c r="C47" t="s">
        <v>22</v>
      </c>
      <c r="D47" s="13">
        <v>12000</v>
      </c>
      <c r="E47" s="6" t="s">
        <v>1</v>
      </c>
      <c r="F47" t="s">
        <v>7</v>
      </c>
    </row>
    <row r="48" spans="1:6">
      <c r="A48" s="14">
        <v>46093</v>
      </c>
      <c r="B48" t="s">
        <v>16</v>
      </c>
      <c r="C48" t="s">
        <v>27</v>
      </c>
      <c r="D48" s="13">
        <v>19000</v>
      </c>
      <c r="E48" s="6" t="s">
        <v>1</v>
      </c>
      <c r="F48" t="s">
        <v>7</v>
      </c>
    </row>
    <row r="49" spans="1:6">
      <c r="A49" s="14">
        <v>46095</v>
      </c>
      <c r="B49" t="s">
        <v>10</v>
      </c>
      <c r="C49" t="s">
        <v>26</v>
      </c>
      <c r="D49" s="13">
        <v>11000</v>
      </c>
      <c r="E49" s="6" t="s">
        <v>1</v>
      </c>
      <c r="F49" t="s">
        <v>7</v>
      </c>
    </row>
    <row r="50" spans="1:6">
      <c r="A50" s="14">
        <v>46095</v>
      </c>
      <c r="B50" t="s">
        <v>16</v>
      </c>
      <c r="C50" t="s">
        <v>32</v>
      </c>
      <c r="D50" s="13">
        <v>13000</v>
      </c>
      <c r="E50" s="6" t="s">
        <v>1</v>
      </c>
      <c r="F50" t="s">
        <v>7</v>
      </c>
    </row>
    <row r="51" spans="1:6">
      <c r="A51" s="14">
        <v>46096</v>
      </c>
      <c r="B51" t="s">
        <v>15</v>
      </c>
      <c r="C51" t="s">
        <v>33</v>
      </c>
      <c r="D51" s="13">
        <v>7000</v>
      </c>
      <c r="E51" s="6" t="s">
        <v>1</v>
      </c>
      <c r="F51" t="s">
        <v>7</v>
      </c>
    </row>
    <row r="52" spans="1:6">
      <c r="A52" s="14">
        <v>46098</v>
      </c>
      <c r="B52" t="s">
        <v>11</v>
      </c>
      <c r="C52" t="s">
        <v>28</v>
      </c>
      <c r="D52" s="13">
        <v>12000</v>
      </c>
      <c r="E52" s="6" t="s">
        <v>1</v>
      </c>
      <c r="F52" t="s">
        <v>7</v>
      </c>
    </row>
    <row r="53" spans="1:6">
      <c r="A53" s="14">
        <v>46099</v>
      </c>
      <c r="B53" t="s">
        <v>11</v>
      </c>
      <c r="C53" t="s">
        <v>30</v>
      </c>
      <c r="D53" s="13">
        <v>8000</v>
      </c>
      <c r="E53" s="6" t="s">
        <v>1</v>
      </c>
      <c r="F53" t="s">
        <v>7</v>
      </c>
    </row>
    <row r="54" spans="1:6">
      <c r="A54" s="14">
        <v>46100</v>
      </c>
      <c r="B54" t="s">
        <v>38</v>
      </c>
      <c r="C54" t="s">
        <v>46</v>
      </c>
      <c r="D54" s="13">
        <v>40000</v>
      </c>
      <c r="E54" s="5" t="s">
        <v>25</v>
      </c>
      <c r="F54" t="s">
        <v>7</v>
      </c>
    </row>
    <row r="55" spans="1:6">
      <c r="A55" s="14">
        <v>46100</v>
      </c>
      <c r="B55" t="s">
        <v>9</v>
      </c>
      <c r="C55" t="s">
        <v>42</v>
      </c>
      <c r="D55" s="13">
        <v>28900</v>
      </c>
      <c r="E55" s="6" t="s">
        <v>1</v>
      </c>
      <c r="F55" t="s">
        <v>7</v>
      </c>
    </row>
    <row r="56" spans="1:6">
      <c r="A56" s="14">
        <v>46101</v>
      </c>
      <c r="B56" t="s">
        <v>9</v>
      </c>
      <c r="C56" t="s">
        <v>34</v>
      </c>
      <c r="D56" s="13">
        <v>8000</v>
      </c>
      <c r="E56" s="6" t="s">
        <v>1</v>
      </c>
      <c r="F56" t="s">
        <v>7</v>
      </c>
    </row>
    <row r="57" spans="1:6">
      <c r="A57" s="14">
        <v>46102</v>
      </c>
      <c r="B57" t="s">
        <v>15</v>
      </c>
      <c r="C57" t="s">
        <v>29</v>
      </c>
      <c r="D57" s="13">
        <v>12000</v>
      </c>
      <c r="E57" s="6" t="s">
        <v>1</v>
      </c>
      <c r="F57" t="s">
        <v>7</v>
      </c>
    </row>
    <row r="58" spans="1:6">
      <c r="A58" s="14">
        <v>46103</v>
      </c>
      <c r="B58" t="s">
        <v>12</v>
      </c>
      <c r="C58" t="s">
        <v>45</v>
      </c>
      <c r="D58" s="13">
        <v>16000</v>
      </c>
      <c r="E58" s="6" t="s">
        <v>1</v>
      </c>
      <c r="F58" t="s">
        <v>7</v>
      </c>
    </row>
    <row r="59" spans="1:6">
      <c r="A59" s="14">
        <v>46104</v>
      </c>
      <c r="B59" t="s">
        <v>10</v>
      </c>
      <c r="C59" t="s">
        <v>26</v>
      </c>
      <c r="D59" s="13">
        <v>23000</v>
      </c>
      <c r="E59" s="6" t="s">
        <v>1</v>
      </c>
      <c r="F59" t="s">
        <v>7</v>
      </c>
    </row>
    <row r="60" spans="1:6">
      <c r="A60" s="14">
        <v>46104</v>
      </c>
      <c r="B60" t="s">
        <v>14</v>
      </c>
      <c r="C60" t="s">
        <v>39</v>
      </c>
      <c r="D60" s="13">
        <v>60000</v>
      </c>
      <c r="E60" s="6" t="s">
        <v>1</v>
      </c>
      <c r="F60" t="s">
        <v>7</v>
      </c>
    </row>
    <row r="61" spans="1:6">
      <c r="A61" s="14">
        <v>46105</v>
      </c>
      <c r="B61" t="s">
        <v>40</v>
      </c>
      <c r="C61" t="s">
        <v>41</v>
      </c>
      <c r="D61" s="13">
        <v>3000</v>
      </c>
      <c r="E61" s="5" t="s">
        <v>25</v>
      </c>
      <c r="F61" t="s">
        <v>7</v>
      </c>
    </row>
  </sheetData>
  <sortState ref="A2:F61">
    <sortCondition ref="A43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23" sqref="D23"/>
    </sheetView>
  </sheetViews>
  <sheetFormatPr defaultColWidth="9.14285714285714" defaultRowHeight="15" outlineLevelCol="3"/>
  <cols>
    <col min="1" max="1" width="34.4285714285714" customWidth="1"/>
    <col min="2" max="2" width="20.1428571428571" customWidth="1"/>
    <col min="3" max="3" width="15.2857142857143" customWidth="1"/>
    <col min="4" max="4" width="13.7142857142857" customWidth="1"/>
  </cols>
  <sheetData>
    <row r="1" spans="1:1">
      <c r="A1" t="s">
        <v>47</v>
      </c>
    </row>
    <row r="2" spans="1:4">
      <c r="A2" t="s">
        <v>3</v>
      </c>
      <c r="B2" t="s">
        <v>48</v>
      </c>
      <c r="C2" t="s">
        <v>49</v>
      </c>
      <c r="D2" t="s">
        <v>14</v>
      </c>
    </row>
    <row r="3" spans="1:4">
      <c r="A3" t="s">
        <v>50</v>
      </c>
      <c r="B3" s="1">
        <f>SUMIFS(Raw!D:D,Raw!F:F,"Jan",Raw!E:E,"Income")</f>
        <v>402000</v>
      </c>
      <c r="C3" s="2">
        <f>SUMIFS(Raw!D:D,Raw!F:F,"Jan",Raw!E:E,"Expense")</f>
        <v>295000</v>
      </c>
      <c r="D3" s="3">
        <f>B3-C3</f>
        <v>107000</v>
      </c>
    </row>
    <row r="4" spans="1:4">
      <c r="A4" t="s">
        <v>51</v>
      </c>
      <c r="B4" s="4">
        <f>SUMIFS(Raw!D:D,Raw!F:F,"Feb",Raw!E:E,"Income")</f>
        <v>472000</v>
      </c>
      <c r="C4" s="2">
        <f>SUMIFS(Raw!D:D,Raw!F:F,"Feb",Raw!E:E,"Expense")</f>
        <v>243050</v>
      </c>
      <c r="D4" s="3">
        <f>B4-C4</f>
        <v>228950</v>
      </c>
    </row>
    <row r="5" spans="1:4">
      <c r="A5" t="s">
        <v>52</v>
      </c>
      <c r="B5" s="5">
        <f>SUMIFS(Raw!D:D,Raw!F:F,"Mar",Raw!E:E,"Income")</f>
        <v>443000</v>
      </c>
      <c r="C5" s="6">
        <f>SUMIFS(Raw!D:D,Raw!F:F,"Mar",Raw!E:E,"Expense")</f>
        <v>334900</v>
      </c>
      <c r="D5" s="3">
        <f>B5-C5</f>
        <v>108100</v>
      </c>
    </row>
    <row r="6" spans="1:4">
      <c r="A6" t="s">
        <v>53</v>
      </c>
      <c r="B6" s="7">
        <f>SUM(B2:B5)</f>
        <v>1317000</v>
      </c>
      <c r="C6" s="8">
        <f>SUM(C2:C5)</f>
        <v>872950</v>
      </c>
      <c r="D6" s="3">
        <f>B6-C6</f>
        <v>444050</v>
      </c>
    </row>
    <row r="8" spans="1:4">
      <c r="A8" t="s">
        <v>4</v>
      </c>
      <c r="B8" t="s">
        <v>50</v>
      </c>
      <c r="C8" t="s">
        <v>51</v>
      </c>
      <c r="D8" t="s">
        <v>52</v>
      </c>
    </row>
    <row r="9" spans="1:4">
      <c r="A9" t="s">
        <v>13</v>
      </c>
      <c r="B9" s="9">
        <f>SUMIFS(Raw!D:D,Raw!B:B,"RENT",Raw!F:F,"Jan")</f>
        <v>70000</v>
      </c>
      <c r="C9">
        <f>SUMIFS(Raw!D:D,Raw!B:B,"RENT",Raw!F:F,"Feb")</f>
        <v>70000</v>
      </c>
      <c r="D9">
        <f>SUMIFS(Raw!D:D,Raw!B:B,"RENT",Raw!F:F,"Mar")</f>
        <v>70000</v>
      </c>
    </row>
    <row r="10" spans="1:4">
      <c r="A10" t="s">
        <v>10</v>
      </c>
      <c r="B10">
        <f>SUMIFS(Raw!D:D,Raw!B:B,"GROCERIES",Raw!F:F,"Jan")</f>
        <v>55000</v>
      </c>
      <c r="C10">
        <f>SUMIFS(Raw!D:D,Raw!B:B,"GROCERIES",Raw!F:F,"Feb")</f>
        <v>53050</v>
      </c>
      <c r="D10">
        <f>SUMIFS(Raw!D:D,Raw!B:B,"GROCERIES",Raw!F:F,"Mar")</f>
        <v>49000</v>
      </c>
    </row>
    <row r="11" spans="1:4">
      <c r="A11" t="s">
        <v>16</v>
      </c>
      <c r="B11">
        <f>SUMIFS(Raw!D:D,Raw!B:B,"UTILITIES",Raw!F:F,"Jan")</f>
        <v>48000</v>
      </c>
      <c r="C11">
        <f>SUMIFS(Raw!D:D,Raw!B:B,"UTILITIES",Raw!F:F,"Feb")</f>
        <v>60000</v>
      </c>
      <c r="D11">
        <f>SUMIFS(Raw!D:D,Raw!B:B,"UTILITIES",Raw!F:F,"Mar")</f>
        <v>64000</v>
      </c>
    </row>
    <row r="12" spans="1:4">
      <c r="A12" t="s">
        <v>15</v>
      </c>
      <c r="B12">
        <f>SUMIFS(Raw!D:D,Raw!B:B,"TRANSPORT",Raw!F:F,"Jan")</f>
        <v>27000</v>
      </c>
      <c r="C12">
        <f>SUMIFS(Raw!D:D,Raw!B:B,"TRANSPORT",Raw!F:F,"Feb")</f>
        <v>26000</v>
      </c>
      <c r="D12">
        <f>SUMIFS(Raw!D:D,Raw!B:B,"TRANSPORT",Raw!F:F,"Mar")</f>
        <v>19000</v>
      </c>
    </row>
    <row r="13" spans="1:4">
      <c r="A13" t="s">
        <v>38</v>
      </c>
      <c r="B13">
        <f>SUMIFS(Raw!D:D,Raw!B:B,"GIFT",Raw!F:F,"Jan")</f>
        <v>0</v>
      </c>
      <c r="C13">
        <f>SUMIFS(Raw!D:D,Raw!B:B,"GIFT",Raw!F:F,"Feb")</f>
        <v>0</v>
      </c>
      <c r="D13">
        <f>SUMIFS(Raw!D:D,Raw!B:B,"GIFT",Raw!F:F,"Mar")</f>
        <v>40000</v>
      </c>
    </row>
    <row r="14" spans="1:4">
      <c r="A14" t="s">
        <v>11</v>
      </c>
      <c r="B14" s="10">
        <f>SUMIFS(Raw!D:D,Raw!B:B,"INSURANCE",Raw!F:F,"Jan")</f>
        <v>20000</v>
      </c>
      <c r="C14">
        <f>SUMIFS(Raw!D:D,Raw!B:B,"INSURANCE",Raw!F:F,"Feb")</f>
        <v>20000</v>
      </c>
      <c r="D14">
        <f>SUMIFS(Raw!D:D,Raw!B:B,"INSURANCE",Raw!F:F,"Mar")</f>
        <v>20000</v>
      </c>
    </row>
    <row r="15" spans="1:4">
      <c r="A15" t="s">
        <v>9</v>
      </c>
      <c r="B15">
        <f>SUMIFS(Raw!D:D,Raw!B:B,"EATING OUT",Raw!F:F,"Jan")</f>
        <v>20000</v>
      </c>
      <c r="C15">
        <f>SUMIFS(Raw!D:D,Raw!B:B,"EATING OUT",Raw!F:F,"Feb")</f>
        <v>18000</v>
      </c>
      <c r="D15">
        <f>SUMIFS(Raw!D:D,Raw!B:B,"EATING OUT",Raw!F:F,"Mar")</f>
        <v>36900</v>
      </c>
    </row>
    <row r="16" spans="1:4">
      <c r="A16" t="s">
        <v>12</v>
      </c>
      <c r="B16">
        <f>SUMIFS(Raw!D:D,Raw!B:B,"Misc",Raw!F:F,"Jan")</f>
        <v>15000</v>
      </c>
      <c r="C16">
        <f>SUMIFS(Raw!D:D,Raw!B:B,"Misc",Raw!F:F,"Feb")</f>
        <v>26000</v>
      </c>
      <c r="D16">
        <f>SUMIFS(Raw!D:D,Raw!B:B,"Misc",Raw!F:F,"Mar")</f>
        <v>16000</v>
      </c>
    </row>
    <row r="17" spans="1:4">
      <c r="A17" t="s">
        <v>14</v>
      </c>
      <c r="B17">
        <f>SUMIFS(Raw!D:D,Raw!B:B,"SAVINGS",Raw!F:F,"Jan")</f>
        <v>40000</v>
      </c>
      <c r="C17">
        <f>SUMIFS(Raw!D:D,Raw!B:B,"SAVINGS",Raw!F:F,"Feb")</f>
        <v>40000</v>
      </c>
      <c r="D17">
        <f>SUMIFS(Raw!D:D,Raw!B:B,"savings",Raw!F:F,"Mar")</f>
        <v>60000</v>
      </c>
    </row>
    <row r="19" spans="1:1">
      <c r="A19" t="s">
        <v>54</v>
      </c>
    </row>
    <row r="20" spans="1:2">
      <c r="A20" t="s">
        <v>55</v>
      </c>
      <c r="B20" t="s">
        <v>56</v>
      </c>
    </row>
    <row r="21" spans="1:2">
      <c r="A21" t="s">
        <v>57</v>
      </c>
      <c r="B21" s="11">
        <f>SUM(D3:D5)</f>
        <v>444050</v>
      </c>
    </row>
    <row r="22" spans="1:2">
      <c r="A22" t="s">
        <v>58</v>
      </c>
      <c r="B22">
        <f>AVERAGE(D3:D5)</f>
        <v>148016.666666667</v>
      </c>
    </row>
    <row r="23" spans="1:2">
      <c r="A23" t="s">
        <v>59</v>
      </c>
      <c r="B23">
        <f>MAX(D3:D5)</f>
        <v>228950</v>
      </c>
    </row>
    <row r="24" spans="1:2">
      <c r="A24" t="s">
        <v>60</v>
      </c>
      <c r="B24" s="12">
        <f>AVERAGE(D3:D5)/AVERAGE(B3:B5)</f>
        <v>0.337167805618831</v>
      </c>
    </row>
    <row r="25" spans="1:2">
      <c r="A25" t="s">
        <v>61</v>
      </c>
      <c r="B25">
        <f>COUNTIF(D3:D5,"&lt;0")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Raw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Folusho</dc:creator>
  <cp:lastModifiedBy>Oludare Folusho</cp:lastModifiedBy>
  <dcterms:created xsi:type="dcterms:W3CDTF">2026-05-18T06:26:00Z</dcterms:created>
  <dcterms:modified xsi:type="dcterms:W3CDTF">2026-05-18T08:48:39Z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BE52F7409BDC492AAD78C6E002B33BE4_13</vt:lpwstr>
  </property>
  <property fmtid="{D5CDD505-2E9C-101B-9397-08002B2CF9AE}" pid="3" name="KSOProductBuildVer">
    <vt:lpwstr>2057-12.2.0.19821</vt:lpwstr>
  </property>
</Properties>
</file>